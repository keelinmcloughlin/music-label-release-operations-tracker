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eelinmcloughlin/Desktop/DATAPROJECTS/"/>
    </mc:Choice>
  </mc:AlternateContent>
  <xr:revisionPtr revIDLastSave="0" documentId="13_ncr:1_{5ED6BD54-1C0E-F844-8385-172A9B280DC6}" xr6:coauthVersionLast="47" xr6:coauthVersionMax="47" xr10:uidLastSave="{00000000-0000-0000-0000-000000000000}"/>
  <bookViews>
    <workbookView xWindow="2000" yWindow="500" windowWidth="23380" windowHeight="16960" xr2:uid="{863465F9-1189-4141-9B43-8E77DEB3D87E}"/>
  </bookViews>
  <sheets>
    <sheet name="Release Schedule" sheetId="3" r:id="rId1"/>
    <sheet name="Metadata &amp; Assets" sheetId="2" r:id="rId2"/>
    <sheet name="Delivery &amp; Checklist" sheetId="1" r:id="rId3"/>
  </sheets>
  <definedNames>
    <definedName name="_xlnm._FilterDatabase" localSheetId="0" hidden="1">'Release Schedule'!$A$3:$H$14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6" i="1" l="1"/>
  <c r="H16" i="1"/>
  <c r="A16" i="1"/>
  <c r="A16" i="2" a="1"/>
  <c r="A16" i="2" s="1"/>
  <c r="A16" i="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<sst xmlns="http://schemas.openxmlformats.org/spreadsheetml/2006/main" count="356" uniqueCount="120">
  <si>
    <t>Artist</t>
  </si>
  <si>
    <t>Release Title</t>
  </si>
  <si>
    <t>Type</t>
  </si>
  <si>
    <t>Territory</t>
  </si>
  <si>
    <t>Release Date</t>
  </si>
  <si>
    <t>Priority</t>
  </si>
  <si>
    <t>Status</t>
  </si>
  <si>
    <t>Golden Harbour</t>
  </si>
  <si>
    <t>Lena Solis</t>
  </si>
  <si>
    <t>Nightshift Arcade</t>
  </si>
  <si>
    <t>Falling Satellites</t>
  </si>
  <si>
    <t>Midnight Echoes</t>
  </si>
  <si>
    <t>Pixel Dreams</t>
  </si>
  <si>
    <t>Static in the Skyline</t>
  </si>
  <si>
    <t>Glass Heart City</t>
  </si>
  <si>
    <t>Starlight Glitch (feat. Nova Calle)</t>
  </si>
  <si>
    <t>Afterimage Forever</t>
  </si>
  <si>
    <t>Maps for Nowhere</t>
  </si>
  <si>
    <t>Single</t>
  </si>
  <si>
    <t>EP</t>
  </si>
  <si>
    <t>Album</t>
  </si>
  <si>
    <t>Global</t>
  </si>
  <si>
    <t>US/EU</t>
  </si>
  <si>
    <t>Medium</t>
  </si>
  <si>
    <t>High</t>
  </si>
  <si>
    <t>Planning</t>
  </si>
  <si>
    <t>Assets In</t>
  </si>
  <si>
    <t>Delivered</t>
  </si>
  <si>
    <t>Han Jisoo</t>
  </si>
  <si>
    <t>KR/Global</t>
  </si>
  <si>
    <t>Seoul at 2AM</t>
  </si>
  <si>
    <t>Neon Han River</t>
  </si>
  <si>
    <t>Delivery Lock</t>
  </si>
  <si>
    <t>Live</t>
  </si>
  <si>
    <t>Low</t>
  </si>
  <si>
    <t>Music Label Release Schedule Tracker (Feb-Sep 2026)</t>
  </si>
  <si>
    <t>Track Title</t>
  </si>
  <si>
    <t>ISRC</t>
  </si>
  <si>
    <t>UPC</t>
  </si>
  <si>
    <t>Version</t>
  </si>
  <si>
    <t>Explicit</t>
  </si>
  <si>
    <t>Duration</t>
  </si>
  <si>
    <t>Audio Master Status</t>
  </si>
  <si>
    <t>Cover Art Status</t>
  </si>
  <si>
    <t>Metadata Complete</t>
  </si>
  <si>
    <t>Notes/Issues</t>
  </si>
  <si>
    <t>US-GH1-26-00001</t>
  </si>
  <si>
    <t>Original</t>
  </si>
  <si>
    <t>No</t>
  </si>
  <si>
    <t>3:42</t>
  </si>
  <si>
    <t>Received</t>
  </si>
  <si>
    <t>In Progress</t>
  </si>
  <si>
    <t>Awaiting final artwork approval</t>
  </si>
  <si>
    <t>US-LS1-26-00001</t>
  </si>
  <si>
    <t>4:05</t>
  </si>
  <si>
    <t>Approved</t>
  </si>
  <si>
    <t>Yes</t>
  </si>
  <si>
    <t>Live on all DSPs</t>
  </si>
  <si>
    <t>Confessions</t>
  </si>
  <si>
    <t>KR-HJ1-26-00001</t>
  </si>
  <si>
    <t>889123456803</t>
  </si>
  <si>
    <t>3:58</t>
  </si>
  <si>
    <t>Audio QC pending</t>
  </si>
  <si>
    <t>US-NSA-26-00001</t>
  </si>
  <si>
    <t>889123456804</t>
  </si>
  <si>
    <t>889123456805</t>
  </si>
  <si>
    <t>3:31</t>
  </si>
  <si>
    <t>Delievered to distributor</t>
  </si>
  <si>
    <t>3:47</t>
  </si>
  <si>
    <t>Not Received</t>
  </si>
  <si>
    <t>Not Started</t>
  </si>
  <si>
    <t>Awaiting initial asset delivery</t>
  </si>
  <si>
    <t>4:12</t>
  </si>
  <si>
    <t>Metadata credits under review</t>
  </si>
  <si>
    <t>3:26</t>
  </si>
  <si>
    <t>Feature metadata verified</t>
  </si>
  <si>
    <t>4:29</t>
  </si>
  <si>
    <t>Explicit flag confirmation pending</t>
  </si>
  <si>
    <t>3:50</t>
  </si>
  <si>
    <t>Assets not yet submitted</t>
  </si>
  <si>
    <t>4:41</t>
  </si>
  <si>
    <t>Album mastering in progress</t>
  </si>
  <si>
    <t>5:02</t>
  </si>
  <si>
    <t>Album delivery timeline TBD</t>
  </si>
  <si>
    <t>US-GH1-26-00003</t>
  </si>
  <si>
    <t>US-NSA-26-00003</t>
  </si>
  <si>
    <t>KR-HJ1-26-00002</t>
  </si>
  <si>
    <t>US-LS1-26-00003</t>
  </si>
  <si>
    <t>US-NSA-26-00002</t>
  </si>
  <si>
    <t>US-LS1-26-00002</t>
  </si>
  <si>
    <t>US-GH1-26-00002</t>
  </si>
  <si>
    <t>889123456801</t>
  </si>
  <si>
    <t>889123456802</t>
  </si>
  <si>
    <t>Metadata &amp; Asset Readiness Tracker (Track-Level)</t>
  </si>
  <si>
    <t>Radio Edit</t>
  </si>
  <si>
    <t>Instrumental</t>
  </si>
  <si>
    <t>Release Type</t>
  </si>
  <si>
    <t>Delivery Status</t>
  </si>
  <si>
    <t>Distributor</t>
  </si>
  <si>
    <t>Marketing Assets Ready</t>
  </si>
  <si>
    <t>DSP Links Live</t>
  </si>
  <si>
    <t>Release Ready</t>
  </si>
  <si>
    <t>Notes/Risks</t>
  </si>
  <si>
    <t>Pre-save/Pre-add</t>
  </si>
  <si>
    <t>The Orchard</t>
  </si>
  <si>
    <t>AWAL</t>
  </si>
  <si>
    <t>DistroKid</t>
  </si>
  <si>
    <t>TuneCore</t>
  </si>
  <si>
    <t>Delivered to distributor</t>
  </si>
  <si>
    <t>N/A</t>
  </si>
  <si>
    <t>Release Delivery &amp; Go-Live Checklist</t>
  </si>
  <si>
    <t>Color</t>
  </si>
  <si>
    <t>Meaning</t>
  </si>
  <si>
    <t>Live on DSPs</t>
  </si>
  <si>
    <t>Delivered but not Live</t>
  </si>
  <si>
    <t>At Risk/Blocking Issue</t>
  </si>
  <si>
    <t>Green</t>
  </si>
  <si>
    <t>Yellow</t>
  </si>
  <si>
    <t>Red</t>
  </si>
  <si>
    <t>At-Risk Release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</si>
</sst>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9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20"/>
      <color theme="1"/>
      <name val="Aptos Narrow (Body)"/>
    </font>
    <font>
      <b/>
      <sz val="13"/>
      <color theme="1"/>
      <name val="Aptos Narrow"/>
      <scheme val="minor"/>
    </font>
    <font>
      <b/>
      <sz val="20"/>
      <color theme="1"/>
      <name val="Aptos Narrow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b/>
      <sz val="12"/>
      <color rgb="FFC00000"/>
      <name val="Aptos Narrow"/>
      <scheme val="minor"/>
    </font>
  </fonts>
  <fills count="6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4">
    <xf numFmtId="0" fontId="0" fillId="0" borderId="0"/>
    <xf numFmtId="0" fontId="5" fillId="3" borderId="0" applyNumberFormat="0" applyBorder="0" applyAlignment="0" applyProtection="0"/>
    <xf numFmtId="0" fontId="6" fillId="4" borderId="0" applyNumberFormat="0" applyBorder="0" applyAlignment="0" applyProtection="0"/>
    <xf numFmtId="0" fontId="7" fillId="5" borderId="0" applyNumberFormat="0" applyBorder="0" applyAlignment="0" applyProtection="0"/>
  </cellStyleXfs>
  <cellXfs count="37">
    <xf numFmtId="0" fontId="0" fillId="0" borderId="0" xfId="0"/>
    <xf numFmtId="49" fontId="0" fillId="0" borderId="0" xfId="0" applyNumberFormat="1"/>
    <xf numFmtId="0" fontId="1" fillId="0" borderId="1" xfId="0" applyFont="1" applyBorder="1"/>
    <xf numFmtId="0" fontId="4" fillId="2" borderId="2" xfId="0" applyFont="1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0" borderId="3" xfId="0" applyBorder="1"/>
    <xf numFmtId="0" fontId="0" fillId="0" borderId="9" xfId="0" applyBorder="1"/>
    <xf numFmtId="0" fontId="1" fillId="0" borderId="5" xfId="0" applyFont="1" applyBorder="1" applyAlignment="1">
      <alignment horizontal="center"/>
    </xf>
    <xf numFmtId="0" fontId="5" fillId="3" borderId="5" xfId="1" applyBorder="1" applyAlignment="1">
      <alignment horizontal="center"/>
    </xf>
    <xf numFmtId="0" fontId="0" fillId="0" borderId="5" xfId="0" applyBorder="1" applyAlignment="1">
      <alignment horizontal="center"/>
    </xf>
    <xf numFmtId="0" fontId="7" fillId="5" borderId="5" xfId="3" applyBorder="1" applyAlignment="1">
      <alignment horizontal="center"/>
    </xf>
    <xf numFmtId="0" fontId="6" fillId="4" borderId="5" xfId="2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8" fillId="0" borderId="4" xfId="0" applyFont="1" applyBorder="1" applyAlignment="1">
      <alignment horizontal="center"/>
    </xf>
    <xf numFmtId="0" fontId="2" fillId="2" borderId="6" xfId="0" applyFont="1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0" borderId="8" xfId="0" applyBorder="1"/>
    <xf numFmtId="0" fontId="0" fillId="0" borderId="0" xfId="0" applyBorder="1"/>
    <xf numFmtId="164" fontId="0" fillId="0" borderId="0" xfId="0" applyNumberFormat="1" applyBorder="1"/>
    <xf numFmtId="0" fontId="0" fillId="0" borderId="12" xfId="0" applyBorder="1"/>
    <xf numFmtId="0" fontId="0" fillId="0" borderId="13" xfId="0" applyBorder="1"/>
    <xf numFmtId="0" fontId="1" fillId="0" borderId="14" xfId="0" applyFont="1" applyBorder="1" applyAlignment="1">
      <alignment horizontal="center"/>
    </xf>
    <xf numFmtId="0" fontId="8" fillId="0" borderId="15" xfId="0" applyFont="1" applyBorder="1" applyAlignment="1">
      <alignment horizontal="center"/>
    </xf>
    <xf numFmtId="0" fontId="4" fillId="2" borderId="6" xfId="0" applyFont="1" applyFill="1" applyBorder="1" applyAlignment="1">
      <alignment horizontal="center"/>
    </xf>
    <xf numFmtId="0" fontId="4" fillId="2" borderId="7" xfId="0" applyFont="1" applyFill="1" applyBorder="1" applyAlignment="1">
      <alignment horizontal="center"/>
    </xf>
    <xf numFmtId="49" fontId="0" fillId="0" borderId="0" xfId="0" applyNumberFormat="1" applyBorder="1"/>
    <xf numFmtId="0" fontId="3" fillId="0" borderId="14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15" xfId="0" applyFont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1" fillId="0" borderId="10" xfId="0" applyFont="1" applyBorder="1"/>
    <xf numFmtId="0" fontId="1" fillId="0" borderId="11" xfId="0" applyFont="1" applyBorder="1"/>
    <xf numFmtId="0" fontId="4" fillId="2" borderId="8" xfId="0" applyFont="1" applyFill="1" applyBorder="1" applyAlignment="1">
      <alignment horizontal="center"/>
    </xf>
    <xf numFmtId="0" fontId="4" fillId="2" borderId="0" xfId="0" applyFont="1" applyFill="1" applyBorder="1" applyAlignment="1">
      <alignment horizontal="center"/>
    </xf>
    <xf numFmtId="0" fontId="4" fillId="2" borderId="9" xfId="0" applyFont="1" applyFill="1" applyBorder="1" applyAlignment="1">
      <alignment horizontal="center"/>
    </xf>
  </cellXfs>
  <cellStyles count="4">
    <cellStyle name="Bad" xfId="2" builtinId="27"/>
    <cellStyle name="Good" xfId="1" builtinId="26"/>
    <cellStyle name="Neutral" xfId="3" builtinId="28"/>
    <cellStyle name="Normal" xfId="0" builtinId="0"/>
  </cellStyles>
  <dxfs count="64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5" tint="-0.24994659260841701"/>
      </font>
      <fill>
        <patternFill>
          <bgColor theme="5" tint="0.59996337778862885"/>
        </patternFill>
      </fill>
    </dxf>
    <dxf>
      <font>
        <b val="0"/>
        <i val="0"/>
      </font>
      <fill>
        <patternFill>
          <bgColor theme="5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 val="0"/>
        <i val="0"/>
      </font>
      <fill>
        <patternFill>
          <bgColor theme="5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 val="0"/>
        <i val="0"/>
      </font>
      <fill>
        <patternFill>
          <bgColor theme="5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 val="0"/>
        <i val="0"/>
      </font>
      <fill>
        <patternFill>
          <bgColor theme="5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 val="0"/>
        <i val="0"/>
      </font>
      <fill>
        <patternFill>
          <bgColor theme="5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b val="0"/>
        <i val="0"/>
      </font>
      <fill>
        <patternFill>
          <bgColor theme="5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b val="0"/>
        <i val="0"/>
      </font>
      <fill>
        <patternFill>
          <bgColor theme="5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colors>
    <mruColors>
      <color rgb="FFA6D196"/>
      <color rgb="FFBDF2A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170D17-2FA8-EF48-B878-FC1BBAA2AD30}">
  <dimension ref="A1:H20"/>
  <sheetViews>
    <sheetView tabSelected="1" workbookViewId="0">
      <selection activeCell="F23" sqref="F23"/>
    </sheetView>
  </sheetViews>
  <sheetFormatPr baseColWidth="10" defaultRowHeight="16" x14ac:dyDescent="0.2"/>
  <cols>
    <col min="1" max="1" width="15" bestFit="1" customWidth="1"/>
    <col min="2" max="2" width="28.33203125" bestFit="1" customWidth="1"/>
    <col min="4" max="4" width="12.83203125" bestFit="1" customWidth="1"/>
    <col min="5" max="5" width="22.5" bestFit="1" customWidth="1"/>
    <col min="6" max="6" width="18.33203125" customWidth="1"/>
  </cols>
  <sheetData>
    <row r="1" spans="1:8" x14ac:dyDescent="0.2">
      <c r="A1" s="14" t="s">
        <v>35</v>
      </c>
      <c r="B1" s="4"/>
      <c r="C1" s="4"/>
      <c r="D1" s="4"/>
      <c r="E1" s="4"/>
      <c r="F1" s="4"/>
      <c r="G1" s="4"/>
      <c r="H1" s="15"/>
    </row>
    <row r="2" spans="1:8" x14ac:dyDescent="0.2">
      <c r="A2" s="29"/>
      <c r="B2" s="30"/>
      <c r="C2" s="30"/>
      <c r="D2" s="30"/>
      <c r="E2" s="30"/>
      <c r="F2" s="30"/>
      <c r="G2" s="30"/>
      <c r="H2" s="31"/>
    </row>
    <row r="3" spans="1:8" x14ac:dyDescent="0.2">
      <c r="A3" s="3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32</v>
      </c>
      <c r="G3" s="2" t="s">
        <v>5</v>
      </c>
      <c r="H3" s="33" t="s">
        <v>6</v>
      </c>
    </row>
    <row r="4" spans="1:8" x14ac:dyDescent="0.2">
      <c r="A4" s="16" t="s">
        <v>7</v>
      </c>
      <c r="B4" s="17" t="s">
        <v>10</v>
      </c>
      <c r="C4" s="17" t="s">
        <v>18</v>
      </c>
      <c r="D4" s="17" t="s">
        <v>21</v>
      </c>
      <c r="E4" s="18">
        <v>46060</v>
      </c>
      <c r="F4" s="18">
        <v>46041</v>
      </c>
      <c r="G4" s="25" t="s">
        <v>24</v>
      </c>
      <c r="H4" s="6" t="s">
        <v>26</v>
      </c>
    </row>
    <row r="5" spans="1:8" x14ac:dyDescent="0.2">
      <c r="A5" s="16" t="s">
        <v>8</v>
      </c>
      <c r="B5" s="17" t="s">
        <v>11</v>
      </c>
      <c r="C5" s="17" t="s">
        <v>18</v>
      </c>
      <c r="D5" s="17" t="s">
        <v>21</v>
      </c>
      <c r="E5" s="18">
        <v>46089</v>
      </c>
      <c r="F5" s="18">
        <v>46075</v>
      </c>
      <c r="G5" s="25" t="s">
        <v>24</v>
      </c>
      <c r="H5" s="6" t="s">
        <v>33</v>
      </c>
    </row>
    <row r="6" spans="1:8" x14ac:dyDescent="0.2">
      <c r="A6" s="16" t="s">
        <v>28</v>
      </c>
      <c r="B6" s="17" t="s">
        <v>30</v>
      </c>
      <c r="C6" s="17" t="s">
        <v>18</v>
      </c>
      <c r="D6" s="17" t="s">
        <v>29</v>
      </c>
      <c r="E6" s="18">
        <v>46103</v>
      </c>
      <c r="F6" s="18">
        <v>46089</v>
      </c>
      <c r="G6" s="25" t="s">
        <v>23</v>
      </c>
      <c r="H6" s="6" t="s">
        <v>26</v>
      </c>
    </row>
    <row r="7" spans="1:8" x14ac:dyDescent="0.2">
      <c r="A7" s="16" t="s">
        <v>9</v>
      </c>
      <c r="B7" s="17" t="s">
        <v>12</v>
      </c>
      <c r="C7" s="17" t="s">
        <v>18</v>
      </c>
      <c r="D7" s="17" t="s">
        <v>21</v>
      </c>
      <c r="E7" s="18">
        <v>46117</v>
      </c>
      <c r="F7" s="18">
        <v>46101</v>
      </c>
      <c r="G7" s="25" t="s">
        <v>24</v>
      </c>
      <c r="H7" s="6" t="s">
        <v>27</v>
      </c>
    </row>
    <row r="8" spans="1:8" x14ac:dyDescent="0.2">
      <c r="A8" s="16" t="s">
        <v>7</v>
      </c>
      <c r="B8" s="17" t="s">
        <v>13</v>
      </c>
      <c r="C8" s="17" t="s">
        <v>18</v>
      </c>
      <c r="D8" s="17" t="s">
        <v>21</v>
      </c>
      <c r="E8" s="18">
        <v>46131</v>
      </c>
      <c r="F8" s="18">
        <v>46117</v>
      </c>
      <c r="G8" s="25" t="s">
        <v>23</v>
      </c>
      <c r="H8" s="6" t="s">
        <v>25</v>
      </c>
    </row>
    <row r="9" spans="1:8" x14ac:dyDescent="0.2">
      <c r="A9" s="16" t="s">
        <v>8</v>
      </c>
      <c r="B9" s="17" t="s">
        <v>14</v>
      </c>
      <c r="C9" s="17" t="s">
        <v>18</v>
      </c>
      <c r="D9" s="17" t="s">
        <v>21</v>
      </c>
      <c r="E9" s="18">
        <v>46152</v>
      </c>
      <c r="F9" s="18">
        <v>46145</v>
      </c>
      <c r="G9" s="25" t="s">
        <v>23</v>
      </c>
      <c r="H9" s="6" t="s">
        <v>26</v>
      </c>
    </row>
    <row r="10" spans="1:8" x14ac:dyDescent="0.2">
      <c r="A10" s="16" t="s">
        <v>9</v>
      </c>
      <c r="B10" s="17" t="s">
        <v>15</v>
      </c>
      <c r="C10" s="17" t="s">
        <v>18</v>
      </c>
      <c r="D10" s="17" t="s">
        <v>22</v>
      </c>
      <c r="E10" s="18">
        <v>46166</v>
      </c>
      <c r="F10" s="18">
        <v>46159</v>
      </c>
      <c r="G10" s="25" t="s">
        <v>24</v>
      </c>
      <c r="H10" s="6" t="s">
        <v>27</v>
      </c>
    </row>
    <row r="11" spans="1:8" x14ac:dyDescent="0.2">
      <c r="A11" s="16" t="s">
        <v>8</v>
      </c>
      <c r="B11" s="17" t="s">
        <v>58</v>
      </c>
      <c r="C11" s="17" t="s">
        <v>19</v>
      </c>
      <c r="D11" s="17" t="s">
        <v>21</v>
      </c>
      <c r="E11" s="18">
        <v>46187</v>
      </c>
      <c r="F11" s="18">
        <v>46174</v>
      </c>
      <c r="G11" s="25" t="s">
        <v>24</v>
      </c>
      <c r="H11" s="6" t="s">
        <v>26</v>
      </c>
    </row>
    <row r="12" spans="1:8" x14ac:dyDescent="0.2">
      <c r="A12" s="16" t="s">
        <v>28</v>
      </c>
      <c r="B12" s="17" t="s">
        <v>31</v>
      </c>
      <c r="C12" s="17" t="s">
        <v>18</v>
      </c>
      <c r="D12" s="17" t="s">
        <v>29</v>
      </c>
      <c r="E12" s="18">
        <v>46215</v>
      </c>
      <c r="F12" s="18">
        <v>46204</v>
      </c>
      <c r="G12" s="25" t="s">
        <v>34</v>
      </c>
      <c r="H12" s="6" t="s">
        <v>25</v>
      </c>
    </row>
    <row r="13" spans="1:8" x14ac:dyDescent="0.2">
      <c r="A13" s="16" t="s">
        <v>9</v>
      </c>
      <c r="B13" s="17" t="s">
        <v>16</v>
      </c>
      <c r="C13" s="17" t="s">
        <v>20</v>
      </c>
      <c r="D13" s="17" t="s">
        <v>21</v>
      </c>
      <c r="E13" s="18">
        <v>46264</v>
      </c>
      <c r="F13" s="18">
        <v>46243</v>
      </c>
      <c r="G13" s="25" t="s">
        <v>34</v>
      </c>
      <c r="H13" s="6" t="s">
        <v>25</v>
      </c>
    </row>
    <row r="14" spans="1:8" x14ac:dyDescent="0.2">
      <c r="A14" s="16" t="s">
        <v>7</v>
      </c>
      <c r="B14" s="17" t="s">
        <v>17</v>
      </c>
      <c r="C14" s="17" t="s">
        <v>20</v>
      </c>
      <c r="D14" s="17" t="s">
        <v>21</v>
      </c>
      <c r="E14" s="18">
        <v>46292</v>
      </c>
      <c r="F14" s="18">
        <v>46271</v>
      </c>
      <c r="G14" s="25" t="s">
        <v>23</v>
      </c>
      <c r="H14" s="6" t="s">
        <v>25</v>
      </c>
    </row>
    <row r="15" spans="1:8" ht="17" thickBot="1" x14ac:dyDescent="0.25">
      <c r="A15" s="16"/>
      <c r="B15" s="17"/>
      <c r="C15" s="17"/>
      <c r="D15" s="17"/>
      <c r="E15" s="17"/>
      <c r="F15" s="17"/>
      <c r="G15" s="17"/>
      <c r="H15" s="6"/>
    </row>
    <row r="16" spans="1:8" ht="18" x14ac:dyDescent="0.25">
      <c r="A16" s="26" t="str">
        <f ca="1">"AT-RISK RELEASES (NEXT 7 DAYS): "&amp;COUNTIFS($F:$F,"&gt;="&amp;TODAY(),$F:$F,"&lt;="&amp;TODAY()+7,$H:$H,"&lt;&gt;Delivered",$H:$H,"&lt;&gt;Live")</f>
        <v>AT-RISK RELEASES (NEXT 7 DAYS): 1</v>
      </c>
      <c r="B16" s="27"/>
      <c r="C16" s="27"/>
      <c r="D16" s="27"/>
      <c r="E16" s="27"/>
      <c r="F16" s="27"/>
      <c r="G16" s="27"/>
      <c r="H16" s="28"/>
    </row>
    <row r="18" spans="1:2" x14ac:dyDescent="0.2">
      <c r="A18" s="7" t="s">
        <v>111</v>
      </c>
      <c r="B18" s="7" t="s">
        <v>112</v>
      </c>
    </row>
    <row r="19" spans="1:2" x14ac:dyDescent="0.2">
      <c r="A19" s="8" t="s">
        <v>116</v>
      </c>
      <c r="B19" s="9" t="s">
        <v>27</v>
      </c>
    </row>
    <row r="20" spans="1:2" x14ac:dyDescent="0.2">
      <c r="A20" s="11" t="s">
        <v>118</v>
      </c>
      <c r="B20" s="9" t="s">
        <v>119</v>
      </c>
    </row>
  </sheetData>
  <autoFilter ref="A3:H14" xr:uid="{BD170D17-2FA8-EF48-B878-FC1BBAA2AD30}">
    <sortState xmlns:xlrd2="http://schemas.microsoft.com/office/spreadsheetml/2017/richdata2" ref="A4:H14">
      <sortCondition ref="E3:E14"/>
    </sortState>
  </autoFilter>
  <mergeCells count="2">
    <mergeCell ref="A1:H2"/>
    <mergeCell ref="A16:H16"/>
  </mergeCells>
  <conditionalFormatting sqref="A4:H14">
    <cfRule type="expression" dxfId="23" priority="4">
      <formula>$H4="Delivered"</formula>
    </cfRule>
    <cfRule type="expression" dxfId="22" priority="5">
      <formula>AND(NOT(OR($H4="Delivered",$H4="Live")),$F4-TODAY()&lt;=7,$F4-TODAY()&gt;=0)</formula>
    </cfRule>
    <cfRule type="expression" dxfId="21" priority="6">
      <formula>AND($F4-TODAY()&lt;=7,$F4-TODAY()&gt;=0)</formula>
    </cfRule>
  </conditionalFormatting>
  <conditionalFormatting sqref="A16:H16">
    <cfRule type="expression" dxfId="20" priority="2">
      <formula>COUNTIFS($F:$F,"&gt;="&amp;TODAY(),$F:$F,"&lt;="&amp;TODAY()+7,$H:$H,"&lt;&gt;Delivered",$H:$H,"&lt;&gt;Live")=0</formula>
    </cfRule>
    <cfRule type="expression" dxfId="19" priority="3">
      <formula>COUNTIFS($F:$F,"&gt;="&amp;TODAY(),$F:$F,"&lt;="&amp;TODAY()+7,$H:$H,"&lt;&gt;Delivered",$H:$H,"&lt;&gt;Live")&gt;0</formula>
    </cfRule>
  </conditionalFormatting>
  <conditionalFormatting sqref="G4:G14">
    <cfRule type="containsText" dxfId="18" priority="7" operator="containsText" text="High">
      <formula>NOT(ISERROR(SEARCH("High",G4)))</formula>
    </cfRule>
    <cfRule type="containsText" dxfId="17" priority="8" operator="containsText" text="Medium">
      <formula>NOT(ISERROR(SEARCH("Medium",G4)))</formula>
    </cfRule>
    <cfRule type="containsText" dxfId="16" priority="9" operator="containsText" text="Low">
      <formula>NOT(ISERROR(SEARCH("Low",G4)))</formula>
    </cfRule>
  </conditionalFormatting>
  <conditionalFormatting sqref="A19">
    <cfRule type="expression" dxfId="15" priority="1">
      <formula>$A$19</formula>
    </cfRule>
  </conditionalFormatting>
  <dataValidations count="2">
    <dataValidation type="list" allowBlank="1" showInputMessage="1" showErrorMessage="1" sqref="H4:H14" xr:uid="{39328004-2DA5-AE45-9009-FF854FB8C1CA}">
      <formula1>"Planning,Assets In,Delivered,Live"</formula1>
    </dataValidation>
    <dataValidation type="list" allowBlank="1" showInputMessage="1" showErrorMessage="1" sqref="G4:G14" xr:uid="{FBD5FAF7-6E44-444D-8477-9B83ACD57048}">
      <formula1>"Low,Medium,High"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B57EB4-3F35-EF49-A3D1-4DC91AB4DB92}">
  <dimension ref="A1:L25"/>
  <sheetViews>
    <sheetView workbookViewId="0">
      <selection activeCell="B35" sqref="B35"/>
    </sheetView>
  </sheetViews>
  <sheetFormatPr baseColWidth="10" defaultRowHeight="16" x14ac:dyDescent="0.2"/>
  <cols>
    <col min="1" max="1" width="28.33203125" bestFit="1" customWidth="1"/>
    <col min="2" max="2" width="15" bestFit="1" customWidth="1"/>
    <col min="3" max="3" width="17" bestFit="1" customWidth="1"/>
    <col min="4" max="4" width="16" bestFit="1" customWidth="1"/>
    <col min="5" max="5" width="13.1640625" bestFit="1" customWidth="1"/>
    <col min="6" max="6" width="11.5" bestFit="1" customWidth="1"/>
    <col min="9" max="9" width="17.83203125" bestFit="1" customWidth="1"/>
    <col min="10" max="10" width="14.5" bestFit="1" customWidth="1"/>
    <col min="11" max="11" width="17.5" bestFit="1" customWidth="1"/>
    <col min="12" max="12" width="28.1640625" bestFit="1" customWidth="1"/>
  </cols>
  <sheetData>
    <row r="1" spans="1:12" x14ac:dyDescent="0.2">
      <c r="A1" s="23" t="s">
        <v>93</v>
      </c>
      <c r="B1" s="3"/>
      <c r="C1" s="3"/>
      <c r="D1" s="3"/>
      <c r="E1" s="3"/>
      <c r="F1" s="3"/>
      <c r="G1" s="3"/>
      <c r="H1" s="3"/>
      <c r="I1" s="3"/>
      <c r="J1" s="3"/>
      <c r="K1" s="3"/>
      <c r="L1" s="24"/>
    </row>
    <row r="2" spans="1:12" x14ac:dyDescent="0.2">
      <c r="A2" s="34"/>
      <c r="B2" s="35"/>
      <c r="C2" s="35"/>
      <c r="D2" s="35"/>
      <c r="E2" s="35"/>
      <c r="F2" s="35"/>
      <c r="G2" s="35"/>
      <c r="H2" s="35"/>
      <c r="I2" s="35"/>
      <c r="J2" s="35"/>
      <c r="K2" s="35"/>
      <c r="L2" s="36"/>
    </row>
    <row r="3" spans="1:12" x14ac:dyDescent="0.2">
      <c r="A3" s="32" t="s">
        <v>36</v>
      </c>
      <c r="B3" s="2" t="s">
        <v>0</v>
      </c>
      <c r="C3" s="2" t="s">
        <v>1</v>
      </c>
      <c r="D3" s="2" t="s">
        <v>37</v>
      </c>
      <c r="E3" s="2" t="s">
        <v>38</v>
      </c>
      <c r="F3" s="2" t="s">
        <v>39</v>
      </c>
      <c r="G3" s="2" t="s">
        <v>40</v>
      </c>
      <c r="H3" s="2" t="s">
        <v>41</v>
      </c>
      <c r="I3" s="2" t="s">
        <v>42</v>
      </c>
      <c r="J3" s="2" t="s">
        <v>43</v>
      </c>
      <c r="K3" s="2" t="s">
        <v>44</v>
      </c>
      <c r="L3" s="33" t="s">
        <v>45</v>
      </c>
    </row>
    <row r="4" spans="1:12" x14ac:dyDescent="0.2">
      <c r="A4" s="16" t="s">
        <v>10</v>
      </c>
      <c r="B4" s="17" t="s">
        <v>7</v>
      </c>
      <c r="C4" s="17" t="s">
        <v>17</v>
      </c>
      <c r="D4" s="17" t="s">
        <v>46</v>
      </c>
      <c r="E4" s="25" t="s">
        <v>91</v>
      </c>
      <c r="F4" s="17" t="s">
        <v>47</v>
      </c>
      <c r="G4" s="17" t="s">
        <v>48</v>
      </c>
      <c r="H4" s="25" t="s">
        <v>49</v>
      </c>
      <c r="I4" s="17" t="s">
        <v>50</v>
      </c>
      <c r="J4" s="17" t="s">
        <v>51</v>
      </c>
      <c r="K4" s="17" t="s">
        <v>48</v>
      </c>
      <c r="L4" s="6" t="s">
        <v>52</v>
      </c>
    </row>
    <row r="5" spans="1:12" x14ac:dyDescent="0.2">
      <c r="A5" s="16" t="s">
        <v>11</v>
      </c>
      <c r="B5" s="17" t="s">
        <v>8</v>
      </c>
      <c r="C5" s="17" t="s">
        <v>58</v>
      </c>
      <c r="D5" s="17" t="s">
        <v>53</v>
      </c>
      <c r="E5" s="25" t="s">
        <v>92</v>
      </c>
      <c r="F5" s="17" t="s">
        <v>94</v>
      </c>
      <c r="G5" s="17" t="s">
        <v>48</v>
      </c>
      <c r="H5" s="25" t="s">
        <v>54</v>
      </c>
      <c r="I5" s="17" t="s">
        <v>55</v>
      </c>
      <c r="J5" s="17" t="s">
        <v>55</v>
      </c>
      <c r="K5" s="17" t="s">
        <v>56</v>
      </c>
      <c r="L5" s="6" t="s">
        <v>57</v>
      </c>
    </row>
    <row r="6" spans="1:12" x14ac:dyDescent="0.2">
      <c r="A6" s="16" t="s">
        <v>30</v>
      </c>
      <c r="B6" s="17" t="s">
        <v>28</v>
      </c>
      <c r="C6" s="17" t="s">
        <v>30</v>
      </c>
      <c r="D6" s="17" t="s">
        <v>59</v>
      </c>
      <c r="E6" s="25" t="s">
        <v>60</v>
      </c>
      <c r="F6" s="17" t="s">
        <v>47</v>
      </c>
      <c r="G6" s="17" t="s">
        <v>48</v>
      </c>
      <c r="H6" s="25" t="s">
        <v>61</v>
      </c>
      <c r="I6" s="17" t="s">
        <v>50</v>
      </c>
      <c r="J6" s="17" t="s">
        <v>51</v>
      </c>
      <c r="K6" s="17" t="s">
        <v>48</v>
      </c>
      <c r="L6" s="6" t="s">
        <v>62</v>
      </c>
    </row>
    <row r="7" spans="1:12" x14ac:dyDescent="0.2">
      <c r="A7" s="16" t="s">
        <v>12</v>
      </c>
      <c r="B7" s="17" t="s">
        <v>9</v>
      </c>
      <c r="C7" s="17" t="s">
        <v>16</v>
      </c>
      <c r="D7" s="17" t="s">
        <v>63</v>
      </c>
      <c r="E7" s="25" t="s">
        <v>64</v>
      </c>
      <c r="F7" s="17" t="s">
        <v>47</v>
      </c>
      <c r="G7" s="17" t="s">
        <v>48</v>
      </c>
      <c r="H7" s="25" t="s">
        <v>66</v>
      </c>
      <c r="I7" s="17" t="s">
        <v>55</v>
      </c>
      <c r="J7" s="17" t="s">
        <v>55</v>
      </c>
      <c r="K7" s="17" t="s">
        <v>56</v>
      </c>
      <c r="L7" s="6" t="s">
        <v>67</v>
      </c>
    </row>
    <row r="8" spans="1:12" x14ac:dyDescent="0.2">
      <c r="A8" s="16" t="s">
        <v>13</v>
      </c>
      <c r="B8" s="17" t="s">
        <v>7</v>
      </c>
      <c r="C8" s="17" t="s">
        <v>17</v>
      </c>
      <c r="D8" s="17" t="s">
        <v>90</v>
      </c>
      <c r="E8" s="25" t="s">
        <v>91</v>
      </c>
      <c r="F8" s="17" t="s">
        <v>47</v>
      </c>
      <c r="G8" s="17" t="s">
        <v>48</v>
      </c>
      <c r="H8" s="25" t="s">
        <v>68</v>
      </c>
      <c r="I8" s="17" t="s">
        <v>69</v>
      </c>
      <c r="J8" s="17" t="s">
        <v>70</v>
      </c>
      <c r="K8" s="17" t="s">
        <v>48</v>
      </c>
      <c r="L8" s="6" t="s">
        <v>71</v>
      </c>
    </row>
    <row r="9" spans="1:12" x14ac:dyDescent="0.2">
      <c r="A9" s="16" t="s">
        <v>14</v>
      </c>
      <c r="B9" s="17" t="s">
        <v>8</v>
      </c>
      <c r="C9" s="17" t="s">
        <v>58</v>
      </c>
      <c r="D9" s="17" t="s">
        <v>89</v>
      </c>
      <c r="E9" s="25" t="s">
        <v>92</v>
      </c>
      <c r="F9" s="17" t="s">
        <v>47</v>
      </c>
      <c r="G9" s="17" t="s">
        <v>48</v>
      </c>
      <c r="H9" s="25" t="s">
        <v>72</v>
      </c>
      <c r="I9" s="17" t="s">
        <v>50</v>
      </c>
      <c r="J9" s="17" t="s">
        <v>55</v>
      </c>
      <c r="K9" s="17" t="s">
        <v>48</v>
      </c>
      <c r="L9" s="6" t="s">
        <v>73</v>
      </c>
    </row>
    <row r="10" spans="1:12" x14ac:dyDescent="0.2">
      <c r="A10" s="16" t="s">
        <v>15</v>
      </c>
      <c r="B10" s="17" t="s">
        <v>9</v>
      </c>
      <c r="C10" s="17" t="s">
        <v>16</v>
      </c>
      <c r="D10" s="17" t="s">
        <v>88</v>
      </c>
      <c r="E10" s="25" t="s">
        <v>64</v>
      </c>
      <c r="F10" s="17" t="s">
        <v>47</v>
      </c>
      <c r="G10" s="17" t="s">
        <v>48</v>
      </c>
      <c r="H10" s="25" t="s">
        <v>74</v>
      </c>
      <c r="I10" s="17" t="s">
        <v>55</v>
      </c>
      <c r="J10" s="17" t="s">
        <v>55</v>
      </c>
      <c r="K10" s="17" t="s">
        <v>56</v>
      </c>
      <c r="L10" s="6" t="s">
        <v>75</v>
      </c>
    </row>
    <row r="11" spans="1:12" x14ac:dyDescent="0.2">
      <c r="A11" s="16" t="s">
        <v>58</v>
      </c>
      <c r="B11" s="17" t="s">
        <v>8</v>
      </c>
      <c r="C11" s="17" t="s">
        <v>58</v>
      </c>
      <c r="D11" s="17" t="s">
        <v>87</v>
      </c>
      <c r="E11" s="25" t="s">
        <v>92</v>
      </c>
      <c r="F11" s="17" t="s">
        <v>95</v>
      </c>
      <c r="G11" s="17" t="s">
        <v>56</v>
      </c>
      <c r="H11" s="25" t="s">
        <v>76</v>
      </c>
      <c r="I11" s="17" t="s">
        <v>50</v>
      </c>
      <c r="J11" s="17" t="s">
        <v>55</v>
      </c>
      <c r="K11" s="17" t="s">
        <v>48</v>
      </c>
      <c r="L11" s="6" t="s">
        <v>77</v>
      </c>
    </row>
    <row r="12" spans="1:12" x14ac:dyDescent="0.2">
      <c r="A12" s="16" t="s">
        <v>31</v>
      </c>
      <c r="B12" s="17" t="s">
        <v>28</v>
      </c>
      <c r="C12" s="17" t="s">
        <v>31</v>
      </c>
      <c r="D12" s="17" t="s">
        <v>86</v>
      </c>
      <c r="E12" s="25" t="s">
        <v>65</v>
      </c>
      <c r="F12" s="17" t="s">
        <v>47</v>
      </c>
      <c r="G12" s="17" t="s">
        <v>48</v>
      </c>
      <c r="H12" s="25" t="s">
        <v>78</v>
      </c>
      <c r="I12" s="17" t="s">
        <v>69</v>
      </c>
      <c r="J12" s="17" t="s">
        <v>70</v>
      </c>
      <c r="K12" s="17" t="s">
        <v>48</v>
      </c>
      <c r="L12" s="6" t="s">
        <v>79</v>
      </c>
    </row>
    <row r="13" spans="1:12" x14ac:dyDescent="0.2">
      <c r="A13" s="16" t="s">
        <v>16</v>
      </c>
      <c r="B13" s="17" t="s">
        <v>9</v>
      </c>
      <c r="C13" s="17" t="s">
        <v>16</v>
      </c>
      <c r="D13" s="17" t="s">
        <v>85</v>
      </c>
      <c r="E13" s="25" t="s">
        <v>64</v>
      </c>
      <c r="F13" s="17" t="s">
        <v>47</v>
      </c>
      <c r="G13" s="17" t="s">
        <v>48</v>
      </c>
      <c r="H13" s="25" t="s">
        <v>80</v>
      </c>
      <c r="I13" s="17" t="s">
        <v>69</v>
      </c>
      <c r="J13" s="17" t="s">
        <v>70</v>
      </c>
      <c r="K13" s="17" t="s">
        <v>48</v>
      </c>
      <c r="L13" s="6" t="s">
        <v>81</v>
      </c>
    </row>
    <row r="14" spans="1:12" x14ac:dyDescent="0.2">
      <c r="A14" s="16" t="s">
        <v>17</v>
      </c>
      <c r="B14" s="17" t="s">
        <v>7</v>
      </c>
      <c r="C14" s="17" t="s">
        <v>17</v>
      </c>
      <c r="D14" s="17" t="s">
        <v>84</v>
      </c>
      <c r="E14" s="25" t="s">
        <v>91</v>
      </c>
      <c r="F14" s="17" t="s">
        <v>47</v>
      </c>
      <c r="G14" s="17" t="s">
        <v>48</v>
      </c>
      <c r="H14" s="25" t="s">
        <v>82</v>
      </c>
      <c r="I14" s="17" t="s">
        <v>69</v>
      </c>
      <c r="J14" s="17" t="s">
        <v>70</v>
      </c>
      <c r="K14" s="17" t="s">
        <v>48</v>
      </c>
      <c r="L14" s="6" t="s">
        <v>83</v>
      </c>
    </row>
    <row r="15" spans="1:12" ht="16" customHeight="1" thickBot="1" x14ac:dyDescent="0.25">
      <c r="A15" s="16"/>
      <c r="B15" s="17"/>
      <c r="C15" s="17"/>
      <c r="D15" s="17"/>
      <c r="E15" s="25"/>
      <c r="F15" s="17"/>
      <c r="G15" s="17"/>
      <c r="H15" s="25"/>
      <c r="I15" s="17"/>
      <c r="J15" s="17"/>
      <c r="K15" s="17"/>
      <c r="L15" s="6"/>
    </row>
    <row r="16" spans="1:12" ht="18" customHeight="1" x14ac:dyDescent="0.25">
      <c r="A16" s="26" t="str" cm="1">
        <f t="array" ref="A16">"TRACKS NOT DELIVERY-READY: "&amp;SUMPRODUCT(--(($I$4:$I$14&lt;&gt;"Approved")+($J$4:$J$14&lt;&gt;"Approved")+($K$4:$K$14&lt;&gt;"Yes")&gt;0))</f>
        <v>TRACKS NOT DELIVERY-READY: 8</v>
      </c>
      <c r="B16" s="27"/>
      <c r="C16" s="27"/>
      <c r="D16" s="27"/>
      <c r="E16" s="27"/>
      <c r="F16" s="27"/>
      <c r="G16" s="27"/>
      <c r="H16" s="27"/>
      <c r="I16" s="27"/>
      <c r="J16" s="27"/>
      <c r="K16" s="27"/>
      <c r="L16" s="28"/>
    </row>
    <row r="17" spans="4:8" x14ac:dyDescent="0.2">
      <c r="E17" s="1"/>
      <c r="H17" s="1"/>
    </row>
    <row r="18" spans="4:8" x14ac:dyDescent="0.2">
      <c r="E18" s="1"/>
      <c r="H18" s="1"/>
    </row>
    <row r="19" spans="4:8" x14ac:dyDescent="0.2">
      <c r="E19" s="1"/>
      <c r="H19" s="1"/>
    </row>
    <row r="20" spans="4:8" x14ac:dyDescent="0.2">
      <c r="E20" s="1"/>
      <c r="H20" s="1"/>
    </row>
    <row r="21" spans="4:8" x14ac:dyDescent="0.2">
      <c r="E21" s="1"/>
      <c r="H21" s="1"/>
    </row>
    <row r="22" spans="4:8" x14ac:dyDescent="0.2">
      <c r="E22" s="1"/>
      <c r="H22" s="1"/>
    </row>
    <row r="23" spans="4:8" x14ac:dyDescent="0.2">
      <c r="E23" s="1"/>
      <c r="H23" s="1"/>
    </row>
    <row r="24" spans="4:8" x14ac:dyDescent="0.2">
      <c r="E24" s="1"/>
      <c r="H24" s="1"/>
    </row>
    <row r="25" spans="4:8" x14ac:dyDescent="0.2">
      <c r="D25" s="17"/>
      <c r="E25" s="1"/>
      <c r="H25" s="1"/>
    </row>
  </sheetData>
  <mergeCells count="2">
    <mergeCell ref="A1:L2"/>
    <mergeCell ref="A16:L16"/>
  </mergeCells>
  <conditionalFormatting sqref="A4:L14">
    <cfRule type="expression" dxfId="14" priority="1" stopIfTrue="1">
      <formula>AND($I4="Approved",$J4="Approved",$K4="Yes")</formula>
    </cfRule>
    <cfRule type="expression" dxfId="13" priority="2">
      <formula>OR($I4&lt;&gt;"Approved",$J4&lt;&gt;"Approved",$K4&lt;&gt;"Yes")</formula>
    </cfRule>
  </conditionalFormatting>
  <dataValidations count="4">
    <dataValidation type="list" allowBlank="1" showInputMessage="1" showErrorMessage="1" sqref="I4:I15" xr:uid="{42AD234E-F5E3-F744-BA8F-DB712873824F}">
      <formula1>"Not Received,Received,Approved"</formula1>
    </dataValidation>
    <dataValidation type="list" allowBlank="1" showInputMessage="1" showErrorMessage="1" sqref="J4:J15" xr:uid="{80760F86-6830-EA42-B411-38F87DE0D0C0}">
      <formula1>"Not Started,In Progress,Approved"</formula1>
    </dataValidation>
    <dataValidation type="list" allowBlank="1" showInputMessage="1" showErrorMessage="1" sqref="K4:K15 G4:G15" xr:uid="{C35D8F1D-C745-4C4D-9DAC-C999F56E7646}">
      <formula1>"No,Yes"</formula1>
    </dataValidation>
    <dataValidation type="list" allowBlank="1" showInputMessage="1" showErrorMessage="1" sqref="F4:F15" xr:uid="{74EAB090-ACD7-1F4F-8AE9-03F3A4D0C3AC}">
      <formula1>"Original,Radio Edit,Instrumental,Remix"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BA9B2C-AD79-1549-8EAE-776A367EAAC7}">
  <dimension ref="A1:K25"/>
  <sheetViews>
    <sheetView workbookViewId="0">
      <selection activeCell="B27" sqref="B27"/>
    </sheetView>
  </sheetViews>
  <sheetFormatPr baseColWidth="10" defaultRowHeight="16" x14ac:dyDescent="0.2"/>
  <cols>
    <col min="1" max="1" width="15" bestFit="1" customWidth="1"/>
    <col min="2" max="2" width="28.33203125" bestFit="1" customWidth="1"/>
    <col min="3" max="3" width="11.83203125" bestFit="1" customWidth="1"/>
    <col min="4" max="4" width="12.1640625" bestFit="1" customWidth="1"/>
    <col min="5" max="5" width="13.5" bestFit="1" customWidth="1"/>
    <col min="6" max="6" width="11" bestFit="1" customWidth="1"/>
    <col min="7" max="7" width="15.6640625" bestFit="1" customWidth="1"/>
    <col min="8" max="8" width="21.1640625" bestFit="1" customWidth="1"/>
    <col min="9" max="10" width="13.1640625" bestFit="1" customWidth="1"/>
    <col min="11" max="11" width="28.1640625" bestFit="1" customWidth="1"/>
  </cols>
  <sheetData>
    <row r="1" spans="1:11" x14ac:dyDescent="0.2">
      <c r="A1" s="14" t="s">
        <v>110</v>
      </c>
      <c r="B1" s="4"/>
      <c r="C1" s="4"/>
      <c r="D1" s="4"/>
      <c r="E1" s="4"/>
      <c r="F1" s="4"/>
      <c r="G1" s="4"/>
      <c r="H1" s="4"/>
      <c r="I1" s="4"/>
      <c r="J1" s="4"/>
      <c r="K1" s="15"/>
    </row>
    <row r="2" spans="1:11" x14ac:dyDescent="0.2">
      <c r="A2" s="29"/>
      <c r="B2" s="30"/>
      <c r="C2" s="30"/>
      <c r="D2" s="30"/>
      <c r="E2" s="30"/>
      <c r="F2" s="30"/>
      <c r="G2" s="30"/>
      <c r="H2" s="30"/>
      <c r="I2" s="30"/>
      <c r="J2" s="30"/>
      <c r="K2" s="31"/>
    </row>
    <row r="3" spans="1:11" x14ac:dyDescent="0.2">
      <c r="A3" s="32" t="s">
        <v>0</v>
      </c>
      <c r="B3" s="2" t="s">
        <v>1</v>
      </c>
      <c r="C3" s="2" t="s">
        <v>96</v>
      </c>
      <c r="D3" s="2" t="s">
        <v>4</v>
      </c>
      <c r="E3" s="2" t="s">
        <v>97</v>
      </c>
      <c r="F3" s="2" t="s">
        <v>98</v>
      </c>
      <c r="G3" s="2" t="s">
        <v>103</v>
      </c>
      <c r="H3" s="2" t="s">
        <v>99</v>
      </c>
      <c r="I3" s="2" t="s">
        <v>100</v>
      </c>
      <c r="J3" s="2" t="s">
        <v>101</v>
      </c>
      <c r="K3" s="33" t="s">
        <v>102</v>
      </c>
    </row>
    <row r="4" spans="1:11" x14ac:dyDescent="0.2">
      <c r="A4" s="16" t="s">
        <v>7</v>
      </c>
      <c r="B4" s="17" t="s">
        <v>10</v>
      </c>
      <c r="C4" s="17" t="s">
        <v>18</v>
      </c>
      <c r="D4" s="18">
        <v>46060</v>
      </c>
      <c r="E4" s="17" t="s">
        <v>51</v>
      </c>
      <c r="F4" s="17" t="s">
        <v>107</v>
      </c>
      <c r="G4" s="17" t="s">
        <v>70</v>
      </c>
      <c r="H4" s="17" t="s">
        <v>48</v>
      </c>
      <c r="I4" s="17" t="s">
        <v>48</v>
      </c>
      <c r="J4" s="17" t="s">
        <v>48</v>
      </c>
      <c r="K4" s="6" t="s">
        <v>52</v>
      </c>
    </row>
    <row r="5" spans="1:11" x14ac:dyDescent="0.2">
      <c r="A5" s="16" t="s">
        <v>8</v>
      </c>
      <c r="B5" s="17" t="s">
        <v>11</v>
      </c>
      <c r="C5" s="17" t="s">
        <v>18</v>
      </c>
      <c r="D5" s="18">
        <v>46089</v>
      </c>
      <c r="E5" s="17" t="s">
        <v>33</v>
      </c>
      <c r="F5" s="17" t="s">
        <v>105</v>
      </c>
      <c r="G5" s="17" t="s">
        <v>33</v>
      </c>
      <c r="H5" s="17" t="s">
        <v>56</v>
      </c>
      <c r="I5" s="17" t="s">
        <v>56</v>
      </c>
      <c r="J5" s="17" t="s">
        <v>56</v>
      </c>
      <c r="K5" s="6" t="s">
        <v>57</v>
      </c>
    </row>
    <row r="6" spans="1:11" x14ac:dyDescent="0.2">
      <c r="A6" s="16" t="s">
        <v>28</v>
      </c>
      <c r="B6" s="17" t="s">
        <v>30</v>
      </c>
      <c r="C6" s="17" t="s">
        <v>18</v>
      </c>
      <c r="D6" s="18">
        <v>46103</v>
      </c>
      <c r="E6" s="17" t="s">
        <v>70</v>
      </c>
      <c r="F6" s="17" t="s">
        <v>104</v>
      </c>
      <c r="G6" s="17" t="s">
        <v>70</v>
      </c>
      <c r="H6" s="17" t="s">
        <v>48</v>
      </c>
      <c r="I6" s="17" t="s">
        <v>48</v>
      </c>
      <c r="J6" s="17" t="s">
        <v>48</v>
      </c>
      <c r="K6" s="6" t="s">
        <v>62</v>
      </c>
    </row>
    <row r="7" spans="1:11" x14ac:dyDescent="0.2">
      <c r="A7" s="16" t="s">
        <v>9</v>
      </c>
      <c r="B7" s="17" t="s">
        <v>12</v>
      </c>
      <c r="C7" s="17" t="s">
        <v>18</v>
      </c>
      <c r="D7" s="18">
        <v>46117</v>
      </c>
      <c r="E7" s="17" t="s">
        <v>27</v>
      </c>
      <c r="F7" s="17" t="s">
        <v>106</v>
      </c>
      <c r="G7" s="17" t="s">
        <v>33</v>
      </c>
      <c r="H7" s="17" t="s">
        <v>56</v>
      </c>
      <c r="I7" s="17" t="s">
        <v>48</v>
      </c>
      <c r="J7" s="17" t="s">
        <v>56</v>
      </c>
      <c r="K7" s="6" t="s">
        <v>108</v>
      </c>
    </row>
    <row r="8" spans="1:11" x14ac:dyDescent="0.2">
      <c r="A8" s="16" t="s">
        <v>7</v>
      </c>
      <c r="B8" s="17" t="s">
        <v>13</v>
      </c>
      <c r="C8" s="17" t="s">
        <v>18</v>
      </c>
      <c r="D8" s="18">
        <v>46131</v>
      </c>
      <c r="E8" s="17" t="s">
        <v>51</v>
      </c>
      <c r="F8" s="17" t="s">
        <v>104</v>
      </c>
      <c r="G8" s="17" t="s">
        <v>70</v>
      </c>
      <c r="H8" s="17" t="s">
        <v>48</v>
      </c>
      <c r="I8" s="17" t="s">
        <v>48</v>
      </c>
      <c r="J8" s="17" t="s">
        <v>48</v>
      </c>
      <c r="K8" s="6" t="s">
        <v>71</v>
      </c>
    </row>
    <row r="9" spans="1:11" x14ac:dyDescent="0.2">
      <c r="A9" s="16" t="s">
        <v>8</v>
      </c>
      <c r="B9" s="17" t="s">
        <v>14</v>
      </c>
      <c r="C9" s="17" t="s">
        <v>18</v>
      </c>
      <c r="D9" s="18">
        <v>46152</v>
      </c>
      <c r="E9" s="17" t="s">
        <v>70</v>
      </c>
      <c r="F9" s="17" t="s">
        <v>105</v>
      </c>
      <c r="G9" s="17" t="s">
        <v>70</v>
      </c>
      <c r="H9" s="17" t="s">
        <v>48</v>
      </c>
      <c r="I9" s="17" t="s">
        <v>48</v>
      </c>
      <c r="J9" s="17" t="s">
        <v>48</v>
      </c>
      <c r="K9" s="6" t="s">
        <v>73</v>
      </c>
    </row>
    <row r="10" spans="1:11" x14ac:dyDescent="0.2">
      <c r="A10" s="16" t="s">
        <v>9</v>
      </c>
      <c r="B10" s="17" t="s">
        <v>15</v>
      </c>
      <c r="C10" s="17" t="s">
        <v>18</v>
      </c>
      <c r="D10" s="18">
        <v>46166</v>
      </c>
      <c r="E10" s="17" t="s">
        <v>27</v>
      </c>
      <c r="F10" s="17" t="s">
        <v>106</v>
      </c>
      <c r="G10" s="17" t="s">
        <v>33</v>
      </c>
      <c r="H10" s="17" t="s">
        <v>56</v>
      </c>
      <c r="I10" s="17" t="s">
        <v>48</v>
      </c>
      <c r="J10" s="17" t="s">
        <v>56</v>
      </c>
      <c r="K10" s="6" t="s">
        <v>75</v>
      </c>
    </row>
    <row r="11" spans="1:11" x14ac:dyDescent="0.2">
      <c r="A11" s="16" t="s">
        <v>8</v>
      </c>
      <c r="B11" s="17" t="s">
        <v>58</v>
      </c>
      <c r="C11" s="17" t="s">
        <v>19</v>
      </c>
      <c r="D11" s="18">
        <v>46187</v>
      </c>
      <c r="E11" s="17" t="s">
        <v>70</v>
      </c>
      <c r="F11" s="17" t="s">
        <v>105</v>
      </c>
      <c r="G11" s="17" t="s">
        <v>70</v>
      </c>
      <c r="H11" s="17" t="s">
        <v>48</v>
      </c>
      <c r="I11" s="17" t="s">
        <v>48</v>
      </c>
      <c r="J11" s="17" t="s">
        <v>48</v>
      </c>
      <c r="K11" s="6" t="s">
        <v>77</v>
      </c>
    </row>
    <row r="12" spans="1:11" x14ac:dyDescent="0.2">
      <c r="A12" s="16" t="s">
        <v>28</v>
      </c>
      <c r="B12" s="17" t="s">
        <v>31</v>
      </c>
      <c r="C12" s="17" t="s">
        <v>18</v>
      </c>
      <c r="D12" s="18">
        <v>46215</v>
      </c>
      <c r="E12" s="17" t="s">
        <v>70</v>
      </c>
      <c r="F12" s="17" t="s">
        <v>104</v>
      </c>
      <c r="G12" s="17" t="s">
        <v>70</v>
      </c>
      <c r="H12" s="17" t="s">
        <v>48</v>
      </c>
      <c r="I12" s="17" t="s">
        <v>48</v>
      </c>
      <c r="J12" s="17" t="s">
        <v>48</v>
      </c>
      <c r="K12" s="6" t="s">
        <v>79</v>
      </c>
    </row>
    <row r="13" spans="1:11" x14ac:dyDescent="0.2">
      <c r="A13" s="16" t="s">
        <v>9</v>
      </c>
      <c r="B13" s="17" t="s">
        <v>16</v>
      </c>
      <c r="C13" s="17" t="s">
        <v>20</v>
      </c>
      <c r="D13" s="18">
        <v>46264</v>
      </c>
      <c r="E13" s="17" t="s">
        <v>70</v>
      </c>
      <c r="F13" s="17" t="s">
        <v>106</v>
      </c>
      <c r="G13" s="17" t="s">
        <v>109</v>
      </c>
      <c r="H13" s="17" t="s">
        <v>48</v>
      </c>
      <c r="I13" s="17" t="s">
        <v>48</v>
      </c>
      <c r="J13" s="17" t="s">
        <v>48</v>
      </c>
      <c r="K13" s="6" t="s">
        <v>81</v>
      </c>
    </row>
    <row r="14" spans="1:11" x14ac:dyDescent="0.2">
      <c r="A14" s="16" t="s">
        <v>7</v>
      </c>
      <c r="B14" s="17" t="s">
        <v>17</v>
      </c>
      <c r="C14" s="17" t="s">
        <v>20</v>
      </c>
      <c r="D14" s="18">
        <v>46292</v>
      </c>
      <c r="E14" s="17" t="s">
        <v>70</v>
      </c>
      <c r="F14" s="17" t="s">
        <v>104</v>
      </c>
      <c r="G14" s="17" t="s">
        <v>109</v>
      </c>
      <c r="H14" s="17" t="s">
        <v>48</v>
      </c>
      <c r="I14" s="17" t="s">
        <v>48</v>
      </c>
      <c r="J14" s="17" t="s">
        <v>48</v>
      </c>
      <c r="K14" s="6" t="s">
        <v>83</v>
      </c>
    </row>
    <row r="15" spans="1:11" ht="17" thickBot="1" x14ac:dyDescent="0.25">
      <c r="A15" s="19"/>
      <c r="B15" s="5"/>
      <c r="C15" s="5"/>
      <c r="D15" s="5"/>
      <c r="E15" s="5"/>
      <c r="F15" s="5"/>
      <c r="G15" s="5"/>
      <c r="H15" s="5"/>
      <c r="I15" s="5"/>
      <c r="J15" s="5"/>
      <c r="K15" s="20"/>
    </row>
    <row r="16" spans="1:11" x14ac:dyDescent="0.2">
      <c r="A16" s="21" t="str">
        <f>"RELEASES NOT READY: "&amp;COUNTIF($J$4:$J$14,"No")</f>
        <v>RELEASES NOT READY: 8</v>
      </c>
      <c r="B16" s="12"/>
      <c r="C16" s="12"/>
      <c r="D16" s="12" t="str">
        <f>"LIVE ON DSPs: "&amp;COUNTIF($I$4:$I$14,"Yes")</f>
        <v>LIVE ON DSPs: 1</v>
      </c>
      <c r="E16" s="12"/>
      <c r="F16" s="12"/>
      <c r="G16" s="12"/>
      <c r="H16" s="13" t="str">
        <f ca="1">"RELEASES DUE IN 30 DAYS (NOT DELIVERED): "&amp;COUNTIFS($D$4:$D$14,"&gt;="&amp;TODAY(),$D$4:$D$14,"&lt;="&amp;TODAY()+30,$E$4:$E$14,"&lt;&gt;Delivered",$E$4:$E$14,"&lt;&gt;Live")</f>
        <v>RELEASES DUE IN 30 DAYS (NOT DELIVERED): 1</v>
      </c>
      <c r="I16" s="13"/>
      <c r="J16" s="13"/>
      <c r="K16" s="22"/>
    </row>
    <row r="18" spans="1:6" x14ac:dyDescent="0.2">
      <c r="A18" s="7" t="s">
        <v>111</v>
      </c>
      <c r="B18" s="7" t="s">
        <v>112</v>
      </c>
    </row>
    <row r="19" spans="1:6" x14ac:dyDescent="0.2">
      <c r="A19" s="8" t="s">
        <v>116</v>
      </c>
      <c r="B19" s="9" t="s">
        <v>113</v>
      </c>
    </row>
    <row r="20" spans="1:6" x14ac:dyDescent="0.2">
      <c r="A20" s="10" t="s">
        <v>117</v>
      </c>
      <c r="B20" s="9" t="s">
        <v>114</v>
      </c>
    </row>
    <row r="21" spans="1:6" x14ac:dyDescent="0.2">
      <c r="A21" s="11" t="s">
        <v>118</v>
      </c>
      <c r="B21" s="9" t="s">
        <v>115</v>
      </c>
    </row>
    <row r="25" spans="1:6" x14ac:dyDescent="0.2">
      <c r="F25" s="17"/>
    </row>
  </sheetData>
  <mergeCells count="4">
    <mergeCell ref="A1:K2"/>
    <mergeCell ref="A16:C16"/>
    <mergeCell ref="D16:G16"/>
    <mergeCell ref="H16:K16"/>
  </mergeCells>
  <conditionalFormatting sqref="A4:K14">
    <cfRule type="expression" dxfId="12" priority="2">
      <formula>AND($E4="Delivered",$I4="No")</formula>
    </cfRule>
    <cfRule type="expression" dxfId="11" priority="3">
      <formula>AND($D4&lt;=TODAY()+30,$J4="No")</formula>
    </cfRule>
    <cfRule type="expression" dxfId="10" priority="8">
      <formula>AND($G4="Live",$H4="Yes",$I4="Yes",$J4="Yes")</formula>
    </cfRule>
    <cfRule type="expression" dxfId="9" priority="9">
      <formula>ND($G4="Live",$H4="Yes",$I4="Yes",$J4="Yes")</formula>
    </cfRule>
    <cfRule type="expression" dxfId="8" priority="10">
      <formula>"UPCOMING (NOT DELIVERED): "&amp;COUNTIFS($D$4:$D$14,"&gt;="&amp;TODAY(),$D$4:$D$14,"&lt;="&amp;TODAY()+30,$E$4:$E$14,"&lt;&gt;Delivered",$E$4:$E$14,"&lt;&gt;Live")</formula>
    </cfRule>
    <cfRule type="expression" dxfId="7" priority="11">
      <formula>$H4="Delivered"</formula>
    </cfRule>
    <cfRule type="expression" dxfId="6" priority="12">
      <formula>AND(NOT(OR($H4="Delivered",$H4="Live")),$F4-TODAY()&lt;=7,$F4-TODAY()&gt;=0)</formula>
    </cfRule>
    <cfRule type="expression" dxfId="5" priority="13">
      <formula>AND($F4-TODAY()&lt;=7,$F4-TODAY()&gt;=0)</formula>
    </cfRule>
  </conditionalFormatting>
  <conditionalFormatting sqref="E4:E14">
    <cfRule type="containsText" dxfId="4" priority="4" operator="containsText" text="In Progress">
      <formula>NOT(ISERROR(SEARCH("In Progress",E4)))</formula>
    </cfRule>
    <cfRule type="containsText" dxfId="3" priority="5" operator="containsText" text="Not Started">
      <formula>NOT(ISERROR(SEARCH("Not Started",E4)))</formula>
    </cfRule>
    <cfRule type="containsText" dxfId="2" priority="6" operator="containsText" text="Delivered">
      <formula>NOT(ISERROR(SEARCH("Delivered",E4)))</formula>
    </cfRule>
    <cfRule type="containsText" dxfId="1" priority="7" operator="containsText" text="Live">
      <formula>NOT(ISERROR(SEARCH("Live",E4)))</formula>
    </cfRule>
  </conditionalFormatting>
  <conditionalFormatting sqref="A19">
    <cfRule type="expression" dxfId="0" priority="1">
      <formula>$A$19</formula>
    </cfRule>
  </conditionalFormatting>
  <dataValidations count="4">
    <dataValidation type="list" allowBlank="1" showInputMessage="1" showErrorMessage="1" sqref="E4:E14" xr:uid="{C63901DC-CF82-EB47-A92A-2B8495A8688E}">
      <formula1>"Not Started,In Progress,Delivered,Live"</formula1>
    </dataValidation>
    <dataValidation type="list" allowBlank="1" showInputMessage="1" showErrorMessage="1" sqref="F4:F14" xr:uid="{BE1FC186-7165-B24E-840F-EB3992A3EB5C}">
      <formula1>"The Orchard,AWAL,DistroKid,TuneCore"</formula1>
    </dataValidation>
    <dataValidation type="list" allowBlank="1" showInputMessage="1" showErrorMessage="1" sqref="G4:G14" xr:uid="{B60032A5-8BBA-5A4A-AC86-C61A20970524}">
      <formula1>"Not Started,Live,N/A"</formula1>
    </dataValidation>
    <dataValidation type="list" allowBlank="1" showInputMessage="1" showErrorMessage="1" sqref="H4:J14" xr:uid="{4FAEC293-1C66-804F-B017-A409F17BC14D}">
      <formula1>"Yes,No"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Release Schedule</vt:lpstr>
      <vt:lpstr>Metadata &amp; Assets</vt:lpstr>
      <vt:lpstr>Delivery &amp; Checklist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Keelin McLoughlin</dc:creator>
  <cp:lastModifiedBy>Keelin McLoughlin</cp:lastModifiedBy>
  <dcterms:created xsi:type="dcterms:W3CDTF">2026-01-12T16:54:53Z</dcterms:created>
  <dcterms:modified xsi:type="dcterms:W3CDTF">2026-01-12T21:40:25Z</dcterms:modified>
</cp:coreProperties>
</file>